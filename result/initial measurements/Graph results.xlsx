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elias\asl\team52\result\initial measurements\"/>
    </mc:Choice>
  </mc:AlternateContent>
  <xr:revisionPtr revIDLastSave="0" documentId="13_ncr:1_{9A06CDF5-6003-4090-A848-5CC7B156DD75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Tabelle1" sheetId="1" r:id="rId1"/>
    <sheet name="results_03_native_fast" sheetId="5" r:id="rId2"/>
    <sheet name="results_03_native" sheetId="4" r:id="rId3"/>
    <sheet name="results_03" sheetId="3" r:id="rId4"/>
    <sheet name="results_O0" sheetId="2" r:id="rId5"/>
  </sheets>
  <definedNames>
    <definedName name="ExterneDaten_1" localSheetId="4" hidden="1">'results_O0'!$A$1:$B$7</definedName>
    <definedName name="ExterneDaten_2" localSheetId="3" hidden="1">'results_03'!$A$1:$B$7</definedName>
    <definedName name="ExterneDaten_3" localSheetId="2" hidden="1">'results_03_native'!$A$1:$B$7</definedName>
    <definedName name="ExterneDaten_4" localSheetId="1" hidden="1">'results_03_native_fast'!$A$1:$B$7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" l="1"/>
  <c r="D9" i="1"/>
  <c r="C9" i="1"/>
  <c r="B9" i="1"/>
  <c r="D10" i="1"/>
  <c r="E10" i="1"/>
  <c r="D11" i="1"/>
  <c r="E11" i="1"/>
  <c r="D12" i="1"/>
  <c r="E12" i="1"/>
  <c r="D13" i="1"/>
  <c r="E13" i="1"/>
  <c r="D14" i="1"/>
  <c r="E14" i="1"/>
  <c r="D15" i="1"/>
  <c r="E15" i="1"/>
  <c r="C10" i="1"/>
  <c r="C11" i="1"/>
  <c r="C12" i="1"/>
  <c r="C13" i="1"/>
  <c r="C14" i="1"/>
  <c r="C15" i="1"/>
  <c r="B11" i="1"/>
  <c r="B12" i="1"/>
  <c r="B13" i="1"/>
  <c r="B14" i="1"/>
  <c r="B10" i="1"/>
  <c r="E2" i="1" a="1"/>
  <c r="E2" i="1" s="1"/>
  <c r="D2" i="1" a="1"/>
  <c r="D2" i="1" s="1"/>
  <c r="C2" i="1" a="1"/>
  <c r="C2" i="1" s="1"/>
  <c r="B2" i="1" a="1"/>
  <c r="B2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A38F30-5121-469C-A338-E752AA61BB19}" keepAlive="1" name="Abfrage - results_03" description="Verbindung mit der Abfrage 'results_03' in der Arbeitsmappe." type="5" refreshedVersion="8" background="1" saveData="1">
    <dbPr connection="Provider=Microsoft.Mashup.OleDb.1;Data Source=$Workbook$;Location=results_03;Extended Properties=&quot;&quot;" command="SELECT * FROM [results_03]"/>
  </connection>
  <connection id="2" xr16:uid="{DFA7C330-0706-450A-ACE2-9FB64F5F58AC}" keepAlive="1" name="Abfrage - results_03_native" description="Verbindung mit der Abfrage 'results_03_native' in der Arbeitsmappe." type="5" refreshedVersion="8" background="1" saveData="1">
    <dbPr connection="Provider=Microsoft.Mashup.OleDb.1;Data Source=$Workbook$;Location=results_03_native;Extended Properties=&quot;&quot;" command="SELECT * FROM [results_03_native]"/>
  </connection>
  <connection id="3" xr16:uid="{AA6BEC0A-8F1C-4403-B5FA-9BA42C3303EC}" keepAlive="1" name="Abfrage - results_03_native_fast" description="Verbindung mit der Abfrage 'results_03_native_fast' in der Arbeitsmappe." type="5" refreshedVersion="8" background="1" saveData="1">
    <dbPr connection="Provider=Microsoft.Mashup.OleDb.1;Data Source=$Workbook$;Location=results_03_native_fast;Extended Properties=&quot;&quot;" command="SELECT * FROM [results_03_native_fast]"/>
  </connection>
  <connection id="4" xr16:uid="{DEC53727-27D8-4A13-9A66-B18E287CB45E}" keepAlive="1" name="Abfrage - results_O0" description="Verbindung mit der Abfrage 'results_O0' in der Arbeitsmappe." type="5" refreshedVersion="8" background="1" saveData="1">
    <dbPr connection="Provider=Microsoft.Mashup.OleDb.1;Data Source=$Workbook$;Location=results_O0;Extended Properties=&quot;&quot;" command="SELECT * FROM [results_O0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<sst xmlns="http://schemas.openxmlformats.org/spreadsheetml/2006/main" count="15" uniqueCount="8">
  <si>
    <t>N</t>
  </si>
  <si>
    <t>AverageCycles</t>
  </si>
  <si>
    <t>O0</t>
  </si>
  <si>
    <t>O3</t>
  </si>
  <si>
    <t>O3 native</t>
  </si>
  <si>
    <t>O3 native fast-math</t>
  </si>
  <si>
    <t>FLOPs in Code</t>
  </si>
  <si>
    <t>75N + 137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</si>
</sst>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9" tint="0.79998168889431442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ont="1" applyFill="1" applyBorder="1"/>
    <xf numFmtId="0" fontId="0" fillId="3" borderId="1" xfId="0" applyFont="1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Performance of collide_balls on Ryzen 5 5600X, 3.7 GHz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Tabelle1!$B$9</c:f>
              <c:strCache>
                <c:ptCount val="1"/>
                <c:pt idx="0">
                  <c:v>-O0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Tabelle1!$B$10:$B$15</c:f>
              <c:numCache>
                <c:formatCode>General</c:formatCode>
                <c:ptCount val="6"/>
                <c:pt idx="0">
                  <c:v>0.30629827996422493</c:v>
                </c:pt>
                <c:pt idx="1">
                  <c:v>0.4920661818383314</c:v>
                </c:pt>
                <c:pt idx="2">
                  <c:v>0.43375286195087936</c:v>
                </c:pt>
                <c:pt idx="3">
                  <c:v>0.50642603770174444</c:v>
                </c:pt>
                <c:pt idx="4">
                  <c:v>0.4972606467714093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4C-4F66-B5CF-0AB9A2F7E0EB}"/>
            </c:ext>
          </c:extLst>
        </c:ser>
        <c:ser>
          <c:idx val="1"/>
          <c:order val="1"/>
          <c:tx>
            <c:strRef>
              <c:f>Tabelle1!$C$9</c:f>
              <c:strCache>
                <c:ptCount val="1"/>
                <c:pt idx="0">
                  <c:v>-O3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Tabelle1!$C$10:$C$15</c:f>
              <c:numCache>
                <c:formatCode>General</c:formatCode>
                <c:ptCount val="6"/>
                <c:pt idx="0">
                  <c:v>0.72866179249157981</c:v>
                </c:pt>
                <c:pt idx="1">
                  <c:v>0.64334170399205448</c:v>
                </c:pt>
                <c:pt idx="2">
                  <c:v>0.68987185628203729</c:v>
                </c:pt>
                <c:pt idx="3">
                  <c:v>0.82246353890106705</c:v>
                </c:pt>
                <c:pt idx="4">
                  <c:v>0.80679214323631054</c:v>
                </c:pt>
                <c:pt idx="5">
                  <c:v>0.8052928892991098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4C-4F66-B5CF-0AB9A2F7E0EB}"/>
            </c:ext>
          </c:extLst>
        </c:ser>
        <c:ser>
          <c:idx val="2"/>
          <c:order val="2"/>
          <c:tx>
            <c:strRef>
              <c:f>Tabelle1!$D$9</c:f>
              <c:strCache>
                <c:ptCount val="1"/>
                <c:pt idx="0">
                  <c:v>-O3 -march=native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Tabelle1!$D$10:$D$15</c:f>
              <c:numCache>
                <c:formatCode>General</c:formatCode>
                <c:ptCount val="6"/>
                <c:pt idx="0">
                  <c:v>0.66530156087096748</c:v>
                </c:pt>
                <c:pt idx="1">
                  <c:v>0.56405207566289228</c:v>
                </c:pt>
                <c:pt idx="2">
                  <c:v>0.61659335882579003</c:v>
                </c:pt>
                <c:pt idx="3">
                  <c:v>0.69800452851487005</c:v>
                </c:pt>
                <c:pt idx="4">
                  <c:v>0.7065903943464259</c:v>
                </c:pt>
                <c:pt idx="5">
                  <c:v>0.70961418443491597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84C-4F66-B5CF-0AB9A2F7E0EB}"/>
            </c:ext>
          </c:extLst>
        </c:ser>
        <c:ser>
          <c:idx val="3"/>
          <c:order val="3"/>
          <c:tx>
            <c:strRef>
              <c:f>Tabelle1!$E$9</c:f>
              <c:strCache>
                <c:ptCount val="1"/>
                <c:pt idx="0">
                  <c:v>-O3 -march=native -ffast-math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Tabelle1!$E$10:$E$15</c:f>
              <c:numCache>
                <c:formatCode>General</c:formatCode>
                <c:ptCount val="6"/>
                <c:pt idx="0">
                  <c:v>0.84809775593525016</c:v>
                </c:pt>
                <c:pt idx="1">
                  <c:v>0.78104945146540083</c:v>
                </c:pt>
                <c:pt idx="2">
                  <c:v>0.89077515351784275</c:v>
                </c:pt>
                <c:pt idx="3">
                  <c:v>0.96956020638296136</c:v>
                </c:pt>
                <c:pt idx="4">
                  <c:v>0.97634836681446269</c:v>
                </c:pt>
                <c:pt idx="5">
                  <c:v>0.99354447471636909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84C-4F66-B5CF-0AB9A2F7E0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199520"/>
        <c:axId val="79196160"/>
      </c:lineChart>
      <c:catAx>
        <c:axId val="791995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9196160"/>
        <c:crosses val="autoZero"/>
        <c:auto val="1"/>
        <c:lblAlgn val="ctr"/>
        <c:lblOffset val="100"/>
        <c:noMultiLvlLbl val="0"/>
      </c:catAx>
      <c:valAx>
        <c:axId val="79196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9199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92074</xdr:colOff>
      <xdr:row>4</xdr:row>
      <xdr:rowOff>152400</xdr:rowOff>
    </xdr:from>
    <xdr:to>
      <xdr:col>14</xdr:col>
      <xdr:colOff>450850</xdr:colOff>
      <xdr:row>22</xdr:row>
      <xdr:rowOff>6350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8658A172-8D33-28BC-0869-0860E9B446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4" connectionId="3" xr16:uid="{DA97D1AC-038B-4AF4-A8D9-8A702C3903D5}" autoFormatId="16" applyNumberFormats="0" applyBorderFormats="0" applyFontFormats="0" applyPatternFormats="0" applyAlignmentFormats="0" applyWidthHeightFormats="0">
  <queryTableRefresh nextId="3">
    <queryTableFields count="2">
      <queryTableField id="1" name="N" tableColumnId="1"/>
      <queryTableField id="2" name="AverageCycles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3" connectionId="2" xr16:uid="{F48EA345-8AAF-4A2E-BC70-F7A8EFE4FB68}" autoFormatId="16" applyNumberFormats="0" applyBorderFormats="0" applyFontFormats="0" applyPatternFormats="0" applyAlignmentFormats="0" applyWidthHeightFormats="0">
  <queryTableRefresh nextId="3">
    <queryTableFields count="2">
      <queryTableField id="1" name="N" tableColumnId="1"/>
      <queryTableField id="2" name="AverageCycles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2" connectionId="1" xr16:uid="{DFA9DDE5-A8A1-466E-BA2C-AD0087A27F01}" autoFormatId="16" applyNumberFormats="0" applyBorderFormats="0" applyFontFormats="0" applyPatternFormats="0" applyAlignmentFormats="0" applyWidthHeightFormats="0">
  <queryTableRefresh nextId="3">
    <queryTableFields count="2">
      <queryTableField id="1" name="N" tableColumnId="1"/>
      <queryTableField id="2" name="AverageCycles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4" xr16:uid="{62084283-58B1-463F-B013-4FA6497EF80D}" autoFormatId="16" applyNumberFormats="0" applyBorderFormats="0" applyFontFormats="0" applyPatternFormats="0" applyAlignmentFormats="0" applyWidthHeightFormats="0">
  <queryTableRefresh nextId="3">
    <queryTableFields count="2">
      <queryTableField id="1" name="N" tableColumnId="1"/>
      <queryTableField id="2" name="AverageCycles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845A431-ADED-4E3D-9FC0-A2B1F2EDE1B7}" name="results_03_native_fast" displayName="results_03_native_fast" ref="A1:B7" tableType="queryTable" totalsRowShown="0">
  <autoFilter ref="A1:B7" xr:uid="{0845A431-ADED-4E3D-9FC0-A2B1F2EDE1B7}"/>
  <tableColumns count="2">
    <tableColumn id="1" xr3:uid="{4AA1E5ED-EEC5-4E4C-8461-115A0A0CFC4E}" uniqueName="1" name="N" queryTableFieldId="1"/>
    <tableColumn id="2" xr3:uid="{010B56EF-6515-4682-86EF-09F47E873E02}" uniqueName="2" name="AverageCycles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E6C5BE9-C975-456D-BFBD-74CEC6688FFB}" name="results_03_native" displayName="results_03_native" ref="A1:B7" tableType="queryTable" totalsRowShown="0">
  <autoFilter ref="A1:B7" xr:uid="{2E6C5BE9-C975-456D-BFBD-74CEC6688FFB}"/>
  <tableColumns count="2">
    <tableColumn id="1" xr3:uid="{3507DA63-ADD1-422C-A093-AFC44CD1DF1B}" uniqueName="1" name="N" queryTableFieldId="1"/>
    <tableColumn id="2" xr3:uid="{D5DDE830-7AAF-46F1-A4F5-44AE63663711}" uniqueName="2" name="AverageCycles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7C8477C-CBF0-40A2-A059-49D056586C08}" name="results_03" displayName="results_03" ref="A1:B7" tableType="queryTable" totalsRowShown="0">
  <autoFilter ref="A1:B7" xr:uid="{17C8477C-CBF0-40A2-A059-49D056586C08}"/>
  <tableColumns count="2">
    <tableColumn id="1" xr3:uid="{301F7B33-B282-4BC4-BA0B-565DF5A208B7}" uniqueName="1" name="N" queryTableFieldId="1"/>
    <tableColumn id="2" xr3:uid="{1DC343DB-5D57-4992-8D06-B3822F199A3B}" uniqueName="2" name="AverageCycles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7F895E-7645-42B3-B09F-48E7A4E52BC9}" name="results_O0" displayName="results_O0" ref="A1:B7" tableType="queryTable" totalsRowShown="0">
  <autoFilter ref="A1:B7" xr:uid="{0F7F895E-7645-42B3-B09F-48E7A4E52BC9}"/>
  <tableColumns count="2">
    <tableColumn id="1" xr3:uid="{A96FE1CD-0535-45EF-B0CA-4C005193A0A1}" uniqueName="1" name="N" queryTableFieldId="1"/>
    <tableColumn id="2" xr3:uid="{8412F797-74BE-4C32-9ADD-983EAB451B48}" uniqueName="2" name="AverageCycles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selection activeCell="Q20" sqref="Q20"/>
    </sheetView>
  </sheetViews>
  <sheetFormatPr baseColWidth="10" defaultColWidth="8.7265625" defaultRowHeight="14.5" x14ac:dyDescent="0.35"/>
  <cols>
    <col min="4" max="4" width="11.81640625" customWidth="1"/>
    <col min="5" max="5" width="17.54296875" customWidth="1"/>
  </cols>
  <sheetData>
    <row r="1" spans="1:7" x14ac:dyDescent="0.35">
      <c r="A1" t="s">
        <v>0</v>
      </c>
      <c r="B1" t="s">
        <v>2</v>
      </c>
      <c r="C1" t="s">
        <v>3</v>
      </c>
      <c r="D1" t="s">
        <v>4</v>
      </c>
      <c r="E1" t="s">
        <v>5</v>
      </c>
      <c r="G1" t="s">
        <v>6</v>
      </c>
    </row>
    <row r="2" spans="1:7" x14ac:dyDescent="0.35">
      <c r="A2" s="1">
        <v>10</v>
      </c>
      <c r="B2" cm="1">
        <f t="array" ref="B2:B7">results_O0[AverageCycles]</f>
        <v>2895.87</v>
      </c>
      <c r="C2" cm="1">
        <f t="array" ref="C2:C7">'results_03'!B2:B7</f>
        <v>1217.3</v>
      </c>
      <c r="D2" cm="1">
        <f t="array" ref="D2:D7">'results_03_native'!B2:B7</f>
        <v>1333.23</v>
      </c>
      <c r="E2" cm="1">
        <f t="array" ref="E2:E7">'results_03_native_fast'!B2:B7</f>
        <v>1045.8699999999999</v>
      </c>
      <c r="G2" t="s">
        <v>7</v>
      </c>
    </row>
    <row r="3" spans="1:7" x14ac:dyDescent="0.35">
      <c r="A3" s="2">
        <v>100</v>
      </c>
      <c r="B3">
        <v>15520.27</v>
      </c>
      <c r="C3">
        <v>11870.83</v>
      </c>
      <c r="D3">
        <v>13539.53</v>
      </c>
      <c r="E3">
        <v>9777.8700000000008</v>
      </c>
    </row>
    <row r="4" spans="1:7" x14ac:dyDescent="0.35">
      <c r="A4" s="1">
        <v>1000</v>
      </c>
      <c r="B4">
        <v>173225.37</v>
      </c>
      <c r="C4">
        <v>108914.43</v>
      </c>
      <c r="D4">
        <v>121858.27</v>
      </c>
      <c r="E4">
        <v>84350.13</v>
      </c>
    </row>
    <row r="5" spans="1:7" x14ac:dyDescent="0.35">
      <c r="A5" s="2">
        <v>10000</v>
      </c>
      <c r="B5">
        <v>1481237.03</v>
      </c>
      <c r="C5">
        <v>912061.1</v>
      </c>
      <c r="D5">
        <v>1074687.8700000001</v>
      </c>
      <c r="E5">
        <v>773687.9</v>
      </c>
    </row>
    <row r="6" spans="1:7" x14ac:dyDescent="0.35">
      <c r="A6" s="1">
        <v>100000</v>
      </c>
      <c r="B6">
        <v>15082908.83</v>
      </c>
      <c r="C6">
        <v>9296244.4700000007</v>
      </c>
      <c r="D6">
        <v>10614547.07</v>
      </c>
      <c r="E6">
        <v>7681824.7000000002</v>
      </c>
    </row>
    <row r="7" spans="1:7" x14ac:dyDescent="0.35">
      <c r="A7" s="2">
        <v>1000000</v>
      </c>
      <c r="B7">
        <v>6200102.7300000004</v>
      </c>
      <c r="C7">
        <v>93133986.400000006</v>
      </c>
      <c r="D7">
        <v>105691428.73</v>
      </c>
      <c r="E7">
        <v>75487448.129999995</v>
      </c>
    </row>
    <row r="9" spans="1:7" x14ac:dyDescent="0.35">
      <c r="B9" t="str">
        <f>"-O0"</f>
        <v>-O0</v>
      </c>
      <c r="C9" t="str">
        <f>"-O3"</f>
        <v>-O3</v>
      </c>
      <c r="D9" t="str">
        <f>"-O3 -march=native"</f>
        <v>-O3 -march=native</v>
      </c>
      <c r="E9" t="str">
        <f>"-O3 -march=native -ffast-math"</f>
        <v>-O3 -march=native -ffast-math</v>
      </c>
    </row>
    <row r="10" spans="1:7" x14ac:dyDescent="0.35">
      <c r="B10">
        <f>(75 * $A2 + 137) / B2</f>
        <v>0.30629827996422493</v>
      </c>
      <c r="C10">
        <f>(75 * $A2 + 137) / C2</f>
        <v>0.72866179249157981</v>
      </c>
      <c r="D10">
        <f>(75 * $A2 + 137) / D2</f>
        <v>0.66530156087096748</v>
      </c>
      <c r="E10">
        <f>(75 * $A2 + 137) / E2</f>
        <v>0.84809775593525016</v>
      </c>
    </row>
    <row r="11" spans="1:7" x14ac:dyDescent="0.35">
      <c r="B11">
        <f>(75 * $A3 + 137) / B3</f>
        <v>0.4920661818383314</v>
      </c>
      <c r="C11">
        <f>(75 * $A3 + 137) / C3</f>
        <v>0.64334170399205448</v>
      </c>
      <c r="D11">
        <f>(75 * $A3 + 137) / D3</f>
        <v>0.56405207566289228</v>
      </c>
      <c r="E11">
        <f>(75 * $A3 + 137) / E3</f>
        <v>0.78104945146540083</v>
      </c>
    </row>
    <row r="12" spans="1:7" x14ac:dyDescent="0.35">
      <c r="B12">
        <f>(75 * $A4 + 137) / B4</f>
        <v>0.43375286195087936</v>
      </c>
      <c r="C12">
        <f>(75 * $A4 + 137) / C4</f>
        <v>0.68987185628203729</v>
      </c>
      <c r="D12">
        <f>(75 * $A4 + 137) / D4</f>
        <v>0.61659335882579003</v>
      </c>
      <c r="E12">
        <f>(75 * $A4 + 137) / E4</f>
        <v>0.89077515351784275</v>
      </c>
    </row>
    <row r="13" spans="1:7" x14ac:dyDescent="0.35">
      <c r="B13">
        <f>(75 * $A5 + 137) / B5</f>
        <v>0.50642603770174444</v>
      </c>
      <c r="C13">
        <f>(75 * $A5 + 137) / C5</f>
        <v>0.82246353890106705</v>
      </c>
      <c r="D13">
        <f>(75 * $A5 + 137) / D5</f>
        <v>0.69800452851487005</v>
      </c>
      <c r="E13">
        <f>(75 * $A5 + 137) / E5</f>
        <v>0.96956020638296136</v>
      </c>
    </row>
    <row r="14" spans="1:7" x14ac:dyDescent="0.35">
      <c r="B14">
        <f>(75 * $A6 + 137) / B6</f>
        <v>0.4972606467714093</v>
      </c>
      <c r="C14">
        <f>(75 * $A6 + 137) / C6</f>
        <v>0.80679214323631054</v>
      </c>
      <c r="D14">
        <f>(75 * $A6 + 137) / D6</f>
        <v>0.7065903943464259</v>
      </c>
      <c r="E14">
        <f>(75 * $A6 + 137) / E6</f>
        <v>0.97634836681446269</v>
      </c>
    </row>
    <row r="15" spans="1:7" x14ac:dyDescent="0.35">
      <c r="C15">
        <f>(75 * $A7 + 137) / C7</f>
        <v>0.8052928892991098</v>
      </c>
      <c r="D15">
        <f>(75 * $A7 + 137) / D7</f>
        <v>0.70961418443491597</v>
      </c>
      <c r="E15">
        <f>(75 * $A7 + 137) / E7</f>
        <v>0.99354447471636909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D20D0-056C-48D9-82D8-66F87E9F40D0}">
  <dimension ref="A1:B7"/>
  <sheetViews>
    <sheetView workbookViewId="0">
      <selection activeCell="B2" sqref="B2"/>
    </sheetView>
  </sheetViews>
  <sheetFormatPr baseColWidth="10" defaultRowHeight="14.5" x14ac:dyDescent="0.35"/>
  <cols>
    <col min="1" max="1" width="7.81640625" bestFit="1" customWidth="1"/>
    <col min="2" max="2" width="14.90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10</v>
      </c>
      <c r="B2">
        <v>1045.8699999999999</v>
      </c>
    </row>
    <row r="3" spans="1:2" x14ac:dyDescent="0.35">
      <c r="A3">
        <v>100</v>
      </c>
      <c r="B3">
        <v>9777.8700000000008</v>
      </c>
    </row>
    <row r="4" spans="1:2" x14ac:dyDescent="0.35">
      <c r="A4">
        <v>1000</v>
      </c>
      <c r="B4">
        <v>84350.13</v>
      </c>
    </row>
    <row r="5" spans="1:2" x14ac:dyDescent="0.35">
      <c r="A5">
        <v>10000</v>
      </c>
      <c r="B5">
        <v>773687.9</v>
      </c>
    </row>
    <row r="6" spans="1:2" x14ac:dyDescent="0.35">
      <c r="A6">
        <v>100000</v>
      </c>
      <c r="B6">
        <v>7681824.7000000002</v>
      </c>
    </row>
    <row r="7" spans="1:2" x14ac:dyDescent="0.35">
      <c r="A7">
        <v>1000000</v>
      </c>
      <c r="B7">
        <v>75487448.129999995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957AE-F5D6-4CDB-A349-7B2C83A90E29}">
  <dimension ref="A1:B7"/>
  <sheetViews>
    <sheetView workbookViewId="0">
      <selection sqref="A1:B7"/>
    </sheetView>
  </sheetViews>
  <sheetFormatPr baseColWidth="10" defaultRowHeight="14.5" x14ac:dyDescent="0.35"/>
  <cols>
    <col min="1" max="1" width="7.81640625" bestFit="1" customWidth="1"/>
    <col min="2" max="2" width="14.90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10</v>
      </c>
      <c r="B2">
        <v>1333.23</v>
      </c>
    </row>
    <row r="3" spans="1:2" x14ac:dyDescent="0.35">
      <c r="A3">
        <v>100</v>
      </c>
      <c r="B3">
        <v>13539.53</v>
      </c>
    </row>
    <row r="4" spans="1:2" x14ac:dyDescent="0.35">
      <c r="A4">
        <v>1000</v>
      </c>
      <c r="B4">
        <v>121858.27</v>
      </c>
    </row>
    <row r="5" spans="1:2" x14ac:dyDescent="0.35">
      <c r="A5">
        <v>10000</v>
      </c>
      <c r="B5">
        <v>1074687.8700000001</v>
      </c>
    </row>
    <row r="6" spans="1:2" x14ac:dyDescent="0.35">
      <c r="A6">
        <v>100000</v>
      </c>
      <c r="B6">
        <v>10614547.07</v>
      </c>
    </row>
    <row r="7" spans="1:2" x14ac:dyDescent="0.35">
      <c r="A7">
        <v>1000000</v>
      </c>
      <c r="B7">
        <v>105691428.73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8B13A-2DA4-4B64-903C-5154D31E90FA}">
  <dimension ref="A1:B7"/>
  <sheetViews>
    <sheetView workbookViewId="0">
      <selection sqref="A1:B7"/>
    </sheetView>
  </sheetViews>
  <sheetFormatPr baseColWidth="10" defaultRowHeight="14.5" x14ac:dyDescent="0.35"/>
  <cols>
    <col min="1" max="1" width="7.81640625" bestFit="1" customWidth="1"/>
    <col min="2" max="2" width="14.90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10</v>
      </c>
      <c r="B2">
        <v>1217.3</v>
      </c>
    </row>
    <row r="3" spans="1:2" x14ac:dyDescent="0.35">
      <c r="A3">
        <v>100</v>
      </c>
      <c r="B3">
        <v>11870.83</v>
      </c>
    </row>
    <row r="4" spans="1:2" x14ac:dyDescent="0.35">
      <c r="A4">
        <v>1000</v>
      </c>
      <c r="B4">
        <v>108914.43</v>
      </c>
    </row>
    <row r="5" spans="1:2" x14ac:dyDescent="0.35">
      <c r="A5">
        <v>10000</v>
      </c>
      <c r="B5">
        <v>912061.1</v>
      </c>
    </row>
    <row r="6" spans="1:2" x14ac:dyDescent="0.35">
      <c r="A6">
        <v>100000</v>
      </c>
      <c r="B6">
        <v>9296244.4700000007</v>
      </c>
    </row>
    <row r="7" spans="1:2" x14ac:dyDescent="0.35">
      <c r="A7">
        <v>1000000</v>
      </c>
      <c r="B7">
        <v>93133986.400000006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FF478-BC9F-4917-BC21-0F296D45BB26}">
  <dimension ref="A1:B7"/>
  <sheetViews>
    <sheetView workbookViewId="0">
      <selection activeCell="A2" sqref="A2:A7"/>
    </sheetView>
  </sheetViews>
  <sheetFormatPr baseColWidth="10" defaultRowHeight="14.5" x14ac:dyDescent="0.35"/>
  <cols>
    <col min="1" max="1" width="7.81640625" bestFit="1" customWidth="1"/>
    <col min="2" max="2" width="14.90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10</v>
      </c>
      <c r="B2">
        <v>2895.87</v>
      </c>
    </row>
    <row r="3" spans="1:2" x14ac:dyDescent="0.35">
      <c r="A3">
        <v>100</v>
      </c>
      <c r="B3">
        <v>15520.27</v>
      </c>
    </row>
    <row r="4" spans="1:2" x14ac:dyDescent="0.35">
      <c r="A4">
        <v>1000</v>
      </c>
      <c r="B4">
        <v>173225.37</v>
      </c>
    </row>
    <row r="5" spans="1:2" x14ac:dyDescent="0.35">
      <c r="A5">
        <v>10000</v>
      </c>
      <c r="B5">
        <v>1481237.03</v>
      </c>
    </row>
    <row r="6" spans="1:2" x14ac:dyDescent="0.35">
      <c r="A6">
        <v>100000</v>
      </c>
      <c r="B6">
        <v>15082908.83</v>
      </c>
    </row>
    <row r="7" spans="1:2" x14ac:dyDescent="0.35">
      <c r="A7">
        <v>1000000</v>
      </c>
      <c r="B7">
        <v>6200102.7300000004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15A7F46-231A-4B0A-82EB-3BDC578D084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Tabelle1</vt:lpstr>
      <vt:lpstr>results_03_native_fast</vt:lpstr>
      <vt:lpstr>results_03_native</vt:lpstr>
      <vt:lpstr>results_03</vt:lpstr>
      <vt:lpstr>results_O0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Ruff</dc:creator>
  <cp:lastModifiedBy>Elias Ruff</cp:lastModifiedBy>
  <dcterms:created xsi:type="dcterms:W3CDTF">2015-06-05T18:19:34Z</dcterms:created>
  <dcterms:modified xsi:type="dcterms:W3CDTF">2025-04-27T12:02:39Z</dcterms:modified>
</cp:coreProperties>
</file>